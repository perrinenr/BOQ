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Clients\Nidal\"/>
    </mc:Choice>
  </mc:AlternateContent>
  <bookViews>
    <workbookView xWindow="0" yWindow="0" windowWidth="13650" windowHeight="11490"/>
  </bookViews>
  <sheets>
    <sheet name="OMM" sheetId="2" r:id="rId1"/>
    <sheet name="ADD" sheetId="3" r:id="rId2"/>
  </sheets>
  <definedNames>
    <definedName name="_xlnm.Print_Area" localSheetId="1">ADD!$A$1:$G$77</definedName>
    <definedName name="_xlnm.Print_Area" localSheetId="0">OMM!$A$1:$G$42</definedName>
    <definedName name="_xlnm.Print_Titles" localSheetId="1">ADD!$1:$12</definedName>
    <definedName name="_xlnm.Print_Titles" localSheetId="0">OMM!$1:$2</definedName>
  </definedNames>
  <calcPr calcId="152511"/>
</workbook>
</file>

<file path=xl/calcChain.xml><?xml version="1.0" encoding="utf-8"?>
<calcChain xmlns="http://schemas.openxmlformats.org/spreadsheetml/2006/main">
  <c r="G77" i="3" l="1"/>
  <c r="G42" i="2" l="1"/>
  <c r="B8" i="3" l="1"/>
  <c r="G7" i="3"/>
  <c r="G6" i="3"/>
  <c r="B6" i="3"/>
  <c r="G5" i="3"/>
  <c r="E5" i="3"/>
  <c r="B5" i="3"/>
</calcChain>
</file>

<file path=xl/sharedStrings.xml><?xml version="1.0" encoding="utf-8"?>
<sst xmlns="http://schemas.openxmlformats.org/spreadsheetml/2006/main" count="125" uniqueCount="73">
  <si>
    <t>Proj:</t>
  </si>
  <si>
    <t>Date:</t>
  </si>
  <si>
    <t>Proj. Type:</t>
  </si>
  <si>
    <t>Job:</t>
  </si>
  <si>
    <t>Sheet:</t>
  </si>
  <si>
    <t>Activity Type:</t>
  </si>
  <si>
    <t>Scp:</t>
  </si>
  <si>
    <t>Breakdown of a Lump Sum</t>
  </si>
  <si>
    <t>Rev:</t>
  </si>
  <si>
    <t>Location:</t>
  </si>
  <si>
    <t>Div:</t>
  </si>
  <si>
    <t>Phase:</t>
  </si>
  <si>
    <t>Built-up Area:</t>
  </si>
  <si>
    <t>Item</t>
  </si>
  <si>
    <t>Total Cost</t>
  </si>
  <si>
    <t>(US$)</t>
  </si>
  <si>
    <t>B</t>
  </si>
  <si>
    <t>BILL NO. 03 - BILL OF QUANTITIES</t>
  </si>
  <si>
    <t>Div.</t>
  </si>
  <si>
    <t>Description of Material</t>
  </si>
  <si>
    <t>Unit</t>
  </si>
  <si>
    <t>Quantity</t>
  </si>
  <si>
    <t>Unit Cost</t>
  </si>
  <si>
    <t>No.</t>
  </si>
  <si>
    <t>ADD</t>
  </si>
  <si>
    <t>BILL NO. 08: BILL OF ADDITIONS</t>
  </si>
  <si>
    <t>00</t>
  </si>
  <si>
    <t>-</t>
  </si>
  <si>
    <t>No</t>
  </si>
  <si>
    <t>Section 16120 - Conductors and Cables</t>
  </si>
  <si>
    <t>Cu/PVC/PVC</t>
  </si>
  <si>
    <t>MR</t>
  </si>
  <si>
    <t>Earth Wires</t>
  </si>
  <si>
    <t>Supply, install and connect the following cables, PVC insulated, copper conductors, complete including accessories, connectors, lugs, supports, clamps as specified and shown on drawings.</t>
  </si>
  <si>
    <t>ELECTRICAL</t>
  </si>
  <si>
    <t>Supply, install and connect the following cables, PVC insulated, unarmored, PVC sheathed and of copper conductors, complete including accessories, connectors, lugs, supports, clamps as specified and shown on drawings.</t>
  </si>
  <si>
    <t>Section 16425 - Main Distribution Board</t>
  </si>
  <si>
    <t>Supply, install and connect the following main distribution panelboards, complete including automatic transfer switches (where indicated), surge arresters, protective devices, synchro system (where indicated), measuring devices, contactors, gate ways to connect with BMS auxiliaries, and all related accessories as specified and shown on drawings.</t>
  </si>
  <si>
    <t>Section 16495 - Transfer Switches</t>
  </si>
  <si>
    <t>Supply, install and connect the following Automatic Transfer Switches, complete including protective devices, surge arresters, measuring devices, contactors, connectors, auxiliaries, and all related accessories as specified and shown on drawings</t>
  </si>
  <si>
    <t>4x25</t>
  </si>
  <si>
    <t>1x16</t>
  </si>
  <si>
    <t>Section 16170-Circuit and Motor Disconnects</t>
  </si>
  <si>
    <r>
      <t xml:space="preserve">Supply, install and connect the following isolating switches (disconnects) complete </t>
    </r>
    <r>
      <rPr>
        <b/>
        <u/>
        <sz val="10"/>
        <rFont val="Times New Roman"/>
        <family val="1"/>
      </rPr>
      <t>excluding</t>
    </r>
    <r>
      <rPr>
        <u/>
        <sz val="10"/>
        <rFont val="Times New Roman"/>
        <family val="1"/>
      </rPr>
      <t xml:space="preserve"> cabling/conduiting  raceways works back to respective panelboards and all related accessories, as specified and shown on drawings</t>
    </r>
  </si>
  <si>
    <t>Isolating Switch rated 4x63A,  for Retail, Weatherproof</t>
  </si>
  <si>
    <t>EDP-2B/02</t>
  </si>
  <si>
    <t>SMDP-ATS/2B</t>
  </si>
  <si>
    <t>4x70</t>
  </si>
  <si>
    <t>1x35</t>
  </si>
  <si>
    <t>Isolating Switch rated 4x150A,  for Retail, Weatherproof</t>
  </si>
  <si>
    <t>TOTAL ELECTRICAL</t>
  </si>
  <si>
    <t>Construction</t>
  </si>
  <si>
    <t>Section 13851 - Fire Alarm</t>
  </si>
  <si>
    <t>Supply, install, connect and test, complete working system including power supply, batteries, surge arresters, conduits, boxes, special conductors, junction, derivation and outlet boxes, connectors, fittings interface with BMS and all related accessories, as specified and shown on drawings.</t>
  </si>
  <si>
    <t>Smoke Detector</t>
  </si>
  <si>
    <t>4x120</t>
  </si>
  <si>
    <t>1x70</t>
  </si>
  <si>
    <t>4x185</t>
  </si>
  <si>
    <t>1x95</t>
  </si>
  <si>
    <t>Section 16135 - Electrical Cabinets, Boxes and Fittings</t>
  </si>
  <si>
    <t>Supply, install and connect the following outlet boxes, complete including cabling/conduiting works back to respective panelboards and all related accessories, as specified and shown on drawings.</t>
  </si>
  <si>
    <t>LIGHT POINT</t>
  </si>
  <si>
    <t>Lighting points materials, supplied, installed, connected complete including conduits, conduit accessories and supports, junction, derivation and outlet boxes, conductors, connectors and all related accessories, as specified and shown on drawings</t>
  </si>
  <si>
    <t>Ceiling/wall light point (Normal)</t>
  </si>
  <si>
    <r>
      <t>Section 16511 - Interior Lighting</t>
    </r>
    <r>
      <rPr>
        <u/>
        <sz val="10"/>
        <color indexed="8"/>
        <rFont val="Times New Roman"/>
        <family val="1"/>
      </rPr>
      <t/>
    </r>
  </si>
  <si>
    <t>Supply, install and connect the following lighting fixtures, complete including control gear, lamps, supports, mounting, brackets and all related accessories, as specified and shown on drawings.</t>
  </si>
  <si>
    <t>Type CC1</t>
  </si>
  <si>
    <t>Ceiling mounted switched electric outlet, For EWH-1 rated 2x16A ,Weatherproof.</t>
  </si>
  <si>
    <t>Wall mounted electric outlet, For irrigation controller rated 2x16A ,Weatherproof, with the respective outlets</t>
  </si>
  <si>
    <t>EMDB-2B</t>
  </si>
  <si>
    <t>Isolating Switch rated 4x50A, for VRV-retail,Weatherproof</t>
  </si>
  <si>
    <t>Isolating Switch rated 4x63A, for VRV-retail,Weatherproof</t>
  </si>
  <si>
    <t>Heat detector</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</si>
</sst>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409]#,##0"/>
    <numFmt numFmtId="165" formatCode="#,##0.0"/>
    <numFmt numFmtId="166" formatCode="&quot;$&quot;#,##0"/>
    <numFmt numFmtId="167" formatCode="&quot;$&quot;#,##0.00"/>
  </numFmts>
  <fonts count="38" x14ac:knownFonts="1">
    <font>
      <sz val="10"/>
      <name val="Arial"/>
      <charset val="178"/>
    </font>
    <font>
      <sz val="10"/>
      <name val="Arial"/>
      <family val="2"/>
    </font>
    <font>
      <sz val="10"/>
      <name val="Times New Roman"/>
      <family val="1"/>
      <charset val="178"/>
    </font>
    <font>
      <b/>
      <sz val="8"/>
      <name val="Times New Roman"/>
      <family val="1"/>
    </font>
    <font>
      <b/>
      <sz val="10"/>
      <name val="Times New Roman"/>
      <family val="1"/>
      <charset val="178"/>
    </font>
    <font>
      <sz val="8"/>
      <name val="Times New Roman"/>
      <family val="1"/>
    </font>
    <font>
      <sz val="8"/>
      <name val="Times New Roman"/>
      <family val="1"/>
      <charset val="178"/>
    </font>
    <font>
      <b/>
      <sz val="10"/>
      <color indexed="9"/>
      <name val="Times New Roman"/>
      <family val="1"/>
    </font>
    <font>
      <b/>
      <sz val="10"/>
      <name val="Times New Roman"/>
      <family val="1"/>
    </font>
    <font>
      <sz val="10"/>
      <name val="Times New Roman"/>
      <family val="1"/>
    </font>
    <font>
      <b/>
      <u/>
      <sz val="10"/>
      <name val="Times New Roman"/>
      <family val="1"/>
    </font>
    <font>
      <u/>
      <sz val="10"/>
      <name val="Times New Roman"/>
      <family val="1"/>
    </font>
    <font>
      <sz val="11"/>
      <name val="Times New Roman"/>
      <family val="1"/>
      <charset val="178"/>
    </font>
    <font>
      <sz val="10"/>
      <color indexed="8"/>
      <name val="Arial"/>
      <family val="2"/>
    </font>
    <font>
      <b/>
      <sz val="10"/>
      <color rgb="FFFF0000"/>
      <name val="Times New Roman"/>
      <family val="1"/>
    </font>
    <font>
      <sz val="10"/>
      <name val="MS Sans Serif"/>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u/>
      <sz val="10"/>
      <color indexed="8"/>
      <name val="Times New Roman"/>
      <family val="1"/>
    </font>
    <font>
      <u/>
      <sz val="10"/>
      <color indexed="8"/>
      <name val="Times New Roman"/>
      <family val="1"/>
    </font>
    <font>
      <sz val="10"/>
      <color theme="1"/>
      <name val="Times New Roman"/>
      <family val="1"/>
      <charset val="178"/>
    </font>
    <font>
      <u/>
      <sz val="10"/>
      <name val="Times New Roman"/>
      <family val="1"/>
      <charset val="178"/>
    </font>
  </fonts>
  <fills count="27">
    <fill>
      <patternFill patternType="none"/>
    </fill>
    <fill>
      <patternFill patternType="gray125"/>
    </fill>
    <fill>
      <patternFill patternType="solid">
        <fgColor indexed="9"/>
        <bgColor indexed="64"/>
      </patternFill>
    </fill>
    <fill>
      <patternFill patternType="solid">
        <fgColor indexed="54"/>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9">
    <border>
      <left/>
      <right/>
      <top/>
      <bottom/>
      <diagonal/>
    </border>
    <border>
      <left style="thin">
        <color indexed="64"/>
      </left>
      <right/>
      <top style="thin">
        <color indexed="64"/>
      </top>
      <bottom/>
      <diagonal/>
    </border>
    <border>
      <left/>
      <right/>
      <top style="thin">
        <color indexed="64"/>
      </top>
      <bottom/>
      <diagonal/>
    </border>
    <border>
      <left style="hair">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hair">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hair">
        <color indexed="64"/>
      </right>
      <top style="thin">
        <color indexed="64"/>
      </top>
      <bottom/>
      <diagonal/>
    </border>
    <border>
      <left/>
      <right style="hair">
        <color indexed="64"/>
      </right>
      <top/>
      <bottom/>
      <diagonal/>
    </border>
    <border>
      <left style="thin">
        <color indexed="64"/>
      </left>
      <right style="thin">
        <color indexed="64"/>
      </right>
      <top style="medium">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75">
    <xf numFmtId="0" fontId="0" fillId="0" borderId="0">
      <alignment vertical="top"/>
    </xf>
    <xf numFmtId="0" fontId="1" fillId="0" borderId="0"/>
    <xf numFmtId="0" fontId="12" fillId="0" borderId="0"/>
    <xf numFmtId="0" fontId="1" fillId="0" borderId="0"/>
    <xf numFmtId="0" fontId="1" fillId="0" borderId="0"/>
    <xf numFmtId="0" fontId="1" fillId="0" borderId="0">
      <alignment vertical="top"/>
    </xf>
    <xf numFmtId="0" fontId="13" fillId="0" borderId="0">
      <alignment vertical="top"/>
    </xf>
    <xf numFmtId="0" fontId="15" fillId="0" borderId="0"/>
    <xf numFmtId="43" fontId="16" fillId="0" borderId="0" applyFont="0" applyFill="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7" fillId="8" borderId="0" applyNumberFormat="0" applyBorder="0" applyAlignment="0" applyProtection="0"/>
    <xf numFmtId="0" fontId="17" fillId="11" borderId="0" applyNumberFormat="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22" borderId="0" applyNumberFormat="0" applyBorder="0" applyAlignment="0" applyProtection="0"/>
    <xf numFmtId="0" fontId="19" fillId="6" borderId="0" applyNumberFormat="0" applyBorder="0" applyAlignment="0" applyProtection="0"/>
    <xf numFmtId="0" fontId="20" fillId="23" borderId="20" applyNumberFormat="0" applyAlignment="0" applyProtection="0"/>
    <xf numFmtId="0" fontId="21" fillId="24" borderId="21" applyNumberFormat="0" applyAlignment="0" applyProtection="0"/>
    <xf numFmtId="0" fontId="22" fillId="0" borderId="0" applyNumberFormat="0" applyFill="0" applyBorder="0" applyAlignment="0" applyProtection="0"/>
    <xf numFmtId="0" fontId="23" fillId="7" borderId="0" applyNumberFormat="0" applyBorder="0" applyAlignment="0" applyProtection="0"/>
    <xf numFmtId="0" fontId="24" fillId="0" borderId="22" applyNumberFormat="0" applyFill="0" applyAlignment="0" applyProtection="0"/>
    <xf numFmtId="0" fontId="25" fillId="0" borderId="23" applyNumberFormat="0" applyFill="0" applyAlignment="0" applyProtection="0"/>
    <xf numFmtId="0" fontId="26" fillId="0" borderId="24" applyNumberFormat="0" applyFill="0" applyAlignment="0" applyProtection="0"/>
    <xf numFmtId="0" fontId="26" fillId="0" borderId="0" applyNumberFormat="0" applyFill="0" applyBorder="0" applyAlignment="0" applyProtection="0"/>
    <xf numFmtId="0" fontId="27" fillId="10" borderId="20" applyNumberFormat="0" applyAlignment="0" applyProtection="0"/>
    <xf numFmtId="0" fontId="28" fillId="0" borderId="25" applyNumberFormat="0" applyFill="0" applyAlignment="0" applyProtection="0"/>
    <xf numFmtId="0" fontId="29" fillId="25" borderId="0" applyNumberFormat="0" applyBorder="0" applyAlignment="0" applyProtection="0"/>
    <xf numFmtId="0" fontId="1" fillId="26" borderId="26" applyNumberFormat="0" applyFont="0" applyAlignment="0" applyProtection="0"/>
    <xf numFmtId="0" fontId="30" fillId="23" borderId="27" applyNumberFormat="0" applyAlignment="0" applyProtection="0"/>
    <xf numFmtId="0" fontId="31" fillId="0" borderId="0" applyNumberFormat="0" applyFill="0" applyBorder="0" applyAlignment="0" applyProtection="0"/>
    <xf numFmtId="0" fontId="32" fillId="0" borderId="28" applyNumberFormat="0" applyFill="0" applyAlignment="0" applyProtection="0"/>
    <xf numFmtId="0" fontId="33" fillId="0" borderId="0" applyNumberForma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5" fillId="0" borderId="0"/>
  </cellStyleXfs>
  <cellXfs count="109">
    <xf numFmtId="0" fontId="0" fillId="0" borderId="0" xfId="0">
      <alignment vertical="top"/>
    </xf>
    <xf numFmtId="0" fontId="2" fillId="0" borderId="0" xfId="1" applyFont="1"/>
    <xf numFmtId="0" fontId="2" fillId="0" borderId="0" xfId="1" applyFont="1" applyAlignment="1">
      <alignment horizontal="center"/>
    </xf>
    <xf numFmtId="0" fontId="3" fillId="0" borderId="0" xfId="1" applyFont="1" applyAlignment="1"/>
    <xf numFmtId="0" fontId="2" fillId="2" borderId="1" xfId="1" applyFont="1" applyFill="1" applyBorder="1" applyAlignment="1"/>
    <xf numFmtId="0" fontId="5" fillId="2" borderId="3" xfId="1" applyFont="1" applyFill="1" applyBorder="1"/>
    <xf numFmtId="15" fontId="6" fillId="2" borderId="2" xfId="0" applyNumberFormat="1" applyFont="1" applyFill="1" applyBorder="1" applyAlignment="1">
      <alignment horizontal="left"/>
    </xf>
    <xf numFmtId="0" fontId="6" fillId="2" borderId="3" xfId="1" applyFont="1" applyFill="1" applyBorder="1"/>
    <xf numFmtId="0" fontId="6" fillId="2" borderId="4" xfId="1" applyFont="1" applyFill="1" applyBorder="1"/>
    <xf numFmtId="0" fontId="2" fillId="2" borderId="5" xfId="1" applyFont="1" applyFill="1" applyBorder="1" applyAlignment="1"/>
    <xf numFmtId="0" fontId="5" fillId="2" borderId="6" xfId="1" applyFont="1" applyFill="1" applyBorder="1"/>
    <xf numFmtId="0" fontId="6" fillId="2" borderId="0" xfId="1" applyFont="1" applyFill="1"/>
    <xf numFmtId="0" fontId="6" fillId="2" borderId="6" xfId="1" applyFont="1" applyFill="1" applyBorder="1"/>
    <xf numFmtId="0" fontId="6" fillId="2" borderId="7" xfId="1" applyFont="1" applyFill="1" applyBorder="1"/>
    <xf numFmtId="0" fontId="4" fillId="2" borderId="0" xfId="1" applyFont="1" applyFill="1" applyAlignment="1"/>
    <xf numFmtId="49" fontId="6" fillId="2" borderId="0" xfId="1" applyNumberFormat="1" applyFont="1" applyFill="1" applyAlignment="1">
      <alignment horizontal="left"/>
    </xf>
    <xf numFmtId="0" fontId="2" fillId="2" borderId="8" xfId="1" applyFont="1" applyFill="1" applyBorder="1" applyAlignment="1">
      <alignment horizontal="left"/>
    </xf>
    <xf numFmtId="0" fontId="4" fillId="2" borderId="9" xfId="1" applyFont="1" applyFill="1" applyBorder="1" applyAlignment="1"/>
    <xf numFmtId="0" fontId="2" fillId="2" borderId="10" xfId="1" applyFont="1" applyFill="1" applyBorder="1"/>
    <xf numFmtId="0" fontId="5" fillId="2" borderId="9" xfId="1" applyFont="1" applyFill="1" applyBorder="1"/>
    <xf numFmtId="0" fontId="2" fillId="2" borderId="11" xfId="1" applyFont="1" applyFill="1" applyBorder="1"/>
    <xf numFmtId="0" fontId="7" fillId="3" borderId="12" xfId="1" applyFont="1" applyFill="1" applyBorder="1" applyAlignment="1">
      <alignment horizontal="center"/>
    </xf>
    <xf numFmtId="0" fontId="8" fillId="0" borderId="14" xfId="0" applyFont="1" applyBorder="1" applyAlignment="1">
      <alignment horizontal="center"/>
    </xf>
    <xf numFmtId="0" fontId="4" fillId="0" borderId="14" xfId="0" applyFont="1" applyBorder="1" applyAlignment="1">
      <alignment horizontal="center"/>
    </xf>
    <xf numFmtId="0" fontId="2" fillId="0" borderId="14" xfId="1" applyFont="1" applyBorder="1" applyAlignment="1">
      <alignment horizontal="center"/>
    </xf>
    <xf numFmtId="0" fontId="4" fillId="2" borderId="0" xfId="1" applyFont="1" applyFill="1"/>
    <xf numFmtId="164" fontId="6" fillId="0" borderId="7" xfId="0" applyNumberFormat="1" applyFont="1" applyFill="1" applyBorder="1" applyAlignment="1">
      <alignment horizontal="left"/>
    </xf>
    <xf numFmtId="0" fontId="2" fillId="2" borderId="9" xfId="1" applyFont="1" applyFill="1" applyBorder="1"/>
    <xf numFmtId="0" fontId="4" fillId="0" borderId="0" xfId="1" applyFont="1" applyAlignment="1">
      <alignment horizontal="center"/>
    </xf>
    <xf numFmtId="0" fontId="7" fillId="3" borderId="13" xfId="1" applyFont="1" applyFill="1" applyBorder="1" applyAlignment="1">
      <alignment horizontal="center"/>
    </xf>
    <xf numFmtId="0" fontId="7" fillId="3" borderId="14" xfId="1" applyFont="1" applyFill="1" applyBorder="1" applyAlignment="1">
      <alignment horizontal="center"/>
    </xf>
    <xf numFmtId="0" fontId="7" fillId="3" borderId="5" xfId="1" applyFont="1" applyFill="1" applyBorder="1" applyAlignment="1">
      <alignment horizontal="center"/>
    </xf>
    <xf numFmtId="0" fontId="2" fillId="0" borderId="19" xfId="1" applyFont="1" applyBorder="1" applyAlignment="1">
      <alignment horizontal="center"/>
    </xf>
    <xf numFmtId="0" fontId="2" fillId="0" borderId="19" xfId="1" applyFont="1" applyBorder="1"/>
    <xf numFmtId="167" fontId="2" fillId="0" borderId="19" xfId="1" applyNumberFormat="1" applyFont="1" applyBorder="1"/>
    <xf numFmtId="166" fontId="2" fillId="0" borderId="19" xfId="1" applyNumberFormat="1" applyFont="1" applyBorder="1"/>
    <xf numFmtId="0" fontId="2" fillId="0" borderId="14" xfId="0" applyFont="1" applyFill="1" applyBorder="1" applyAlignment="1">
      <alignment horizontal="center"/>
    </xf>
    <xf numFmtId="0" fontId="9" fillId="0" borderId="14" xfId="0" applyFont="1" applyFill="1" applyBorder="1" applyAlignment="1">
      <alignment horizontal="center"/>
    </xf>
    <xf numFmtId="167" fontId="2" fillId="0" borderId="14" xfId="0" applyNumberFormat="1" applyFont="1" applyFill="1" applyBorder="1" applyAlignment="1">
      <alignment horizontal="right"/>
    </xf>
    <xf numFmtId="0" fontId="11" fillId="0" borderId="14" xfId="0" applyFont="1" applyFill="1" applyBorder="1" applyAlignment="1"/>
    <xf numFmtId="167" fontId="2" fillId="0" borderId="14" xfId="1" applyNumberFormat="1" applyFont="1" applyBorder="1"/>
    <xf numFmtId="166" fontId="2" fillId="0" borderId="14" xfId="1" applyNumberFormat="1" applyFont="1" applyBorder="1"/>
    <xf numFmtId="165" fontId="2" fillId="0" borderId="14" xfId="0" applyNumberFormat="1" applyFont="1" applyFill="1" applyBorder="1" applyAlignment="1">
      <alignment horizontal="right"/>
    </xf>
    <xf numFmtId="0" fontId="2" fillId="0" borderId="14" xfId="1" applyFont="1" applyBorder="1"/>
    <xf numFmtId="0" fontId="2" fillId="0" borderId="5" xfId="1" applyFont="1" applyBorder="1"/>
    <xf numFmtId="0" fontId="4" fillId="0" borderId="14" xfId="0" applyFont="1" applyFill="1" applyBorder="1" applyAlignment="1"/>
    <xf numFmtId="0" fontId="2" fillId="0" borderId="14" xfId="0" applyFont="1" applyFill="1" applyBorder="1" applyAlignment="1">
      <alignment horizontal="center" vertical="center"/>
    </xf>
    <xf numFmtId="0" fontId="2" fillId="4" borderId="14" xfId="1" applyFont="1" applyFill="1" applyBorder="1" applyAlignment="1">
      <alignment horizontal="center"/>
    </xf>
    <xf numFmtId="0" fontId="14" fillId="4" borderId="14" xfId="0" applyFont="1" applyFill="1" applyBorder="1" applyAlignment="1"/>
    <xf numFmtId="0" fontId="2" fillId="4" borderId="14" xfId="1" applyFont="1" applyFill="1" applyBorder="1"/>
    <xf numFmtId="167" fontId="2" fillId="4" borderId="14" xfId="1" applyNumberFormat="1" applyFont="1" applyFill="1" applyBorder="1"/>
    <xf numFmtId="166" fontId="2" fillId="4" borderId="14" xfId="1" applyNumberFormat="1" applyFont="1" applyFill="1" applyBorder="1"/>
    <xf numFmtId="0" fontId="9" fillId="4" borderId="14" xfId="0" applyFont="1" applyFill="1" applyBorder="1" applyAlignment="1">
      <alignment horizontal="center"/>
    </xf>
    <xf numFmtId="0" fontId="2" fillId="4" borderId="14" xfId="0" applyFont="1" applyFill="1" applyBorder="1" applyAlignment="1">
      <alignment horizontal="center"/>
    </xf>
    <xf numFmtId="167" fontId="2" fillId="4" borderId="14" xfId="0" applyNumberFormat="1" applyFont="1" applyFill="1" applyBorder="1" applyAlignment="1">
      <alignment horizontal="right"/>
    </xf>
    <xf numFmtId="165" fontId="2" fillId="4" borderId="14" xfId="0" applyNumberFormat="1" applyFont="1" applyFill="1" applyBorder="1" applyAlignment="1">
      <alignment horizontal="right"/>
    </xf>
    <xf numFmtId="0" fontId="9" fillId="0" borderId="14" xfId="7" applyFont="1" applyFill="1" applyBorder="1" applyAlignment="1">
      <alignment horizontal="center" vertical="center"/>
    </xf>
    <xf numFmtId="0" fontId="9" fillId="0" borderId="5" xfId="7" applyFont="1" applyFill="1" applyBorder="1" applyAlignment="1">
      <alignment horizontal="center" vertical="center"/>
    </xf>
    <xf numFmtId="0" fontId="9" fillId="0" borderId="14" xfId="7" applyFont="1" applyFill="1" applyBorder="1" applyAlignment="1">
      <alignment horizontal="left" vertical="top" wrapText="1"/>
    </xf>
    <xf numFmtId="0" fontId="2" fillId="0" borderId="14" xfId="0" applyFont="1" applyBorder="1" applyAlignment="1">
      <alignment vertical="center"/>
    </xf>
    <xf numFmtId="167" fontId="2" fillId="0" borderId="14" xfId="8" applyNumberFormat="1" applyFont="1" applyBorder="1"/>
    <xf numFmtId="167" fontId="2" fillId="0" borderId="14" xfId="8" applyNumberFormat="1" applyFont="1" applyBorder="1" applyAlignment="1"/>
    <xf numFmtId="0" fontId="7" fillId="0" borderId="14" xfId="52" applyFont="1" applyFill="1" applyBorder="1" applyAlignment="1">
      <alignment horizontal="center"/>
    </xf>
    <xf numFmtId="44" fontId="2" fillId="0" borderId="14" xfId="50" applyNumberFormat="1" applyFont="1" applyFill="1" applyBorder="1" applyAlignment="1">
      <alignment horizontal="center" vertical="center"/>
    </xf>
    <xf numFmtId="0" fontId="2" fillId="0" borderId="14" xfId="52" applyFont="1" applyFill="1" applyBorder="1" applyAlignment="1">
      <alignment horizontal="center" vertical="center"/>
    </xf>
    <xf numFmtId="0" fontId="2" fillId="0" borderId="14" xfId="52" applyFont="1" applyFill="1" applyBorder="1" applyAlignment="1">
      <alignment horizontal="center"/>
    </xf>
    <xf numFmtId="0" fontId="9" fillId="0" borderId="14" xfId="52" applyFont="1" applyFill="1" applyBorder="1" applyAlignment="1">
      <alignment horizontal="center" vertical="center"/>
    </xf>
    <xf numFmtId="44" fontId="2" fillId="0" borderId="14" xfId="66" applyNumberFormat="1" applyFont="1" applyFill="1" applyBorder="1" applyAlignment="1">
      <alignment horizontal="center" vertical="center"/>
    </xf>
    <xf numFmtId="44" fontId="2" fillId="0" borderId="14" xfId="56" applyNumberFormat="1" applyFont="1" applyFill="1" applyBorder="1" applyAlignment="1">
      <alignment horizontal="center" vertical="center"/>
    </xf>
    <xf numFmtId="0" fontId="10" fillId="0" borderId="14" xfId="7" applyFont="1" applyFill="1" applyBorder="1" applyAlignment="1">
      <alignment horizontal="justify" vertical="top"/>
    </xf>
    <xf numFmtId="1" fontId="9" fillId="0" borderId="14" xfId="7" applyNumberFormat="1" applyFont="1" applyFill="1" applyBorder="1" applyAlignment="1">
      <alignment horizontal="center"/>
    </xf>
    <xf numFmtId="0" fontId="2" fillId="0" borderId="14" xfId="68" applyFont="1" applyFill="1" applyBorder="1" applyAlignment="1">
      <alignment horizontal="center"/>
    </xf>
    <xf numFmtId="0" fontId="34" fillId="0" borderId="14" xfId="7" applyFont="1" applyFill="1" applyBorder="1" applyAlignment="1">
      <alignment horizontal="left" vertical="top" wrapText="1"/>
    </xf>
    <xf numFmtId="0" fontId="9" fillId="0" borderId="14" xfId="68" applyFont="1" applyFill="1" applyBorder="1" applyAlignment="1">
      <alignment horizontal="center" vertical="center"/>
    </xf>
    <xf numFmtId="1" fontId="9" fillId="0" borderId="14" xfId="7" applyNumberFormat="1" applyFont="1" applyFill="1" applyBorder="1" applyAlignment="1">
      <alignment horizontal="center" vertical="center"/>
    </xf>
    <xf numFmtId="0" fontId="35" fillId="0" borderId="14" xfId="7" applyFont="1" applyFill="1" applyBorder="1" applyAlignment="1">
      <alignment horizontal="left" vertical="top" wrapText="1"/>
    </xf>
    <xf numFmtId="0" fontId="9" fillId="0" borderId="14" xfId="7" applyFont="1" applyFill="1" applyBorder="1" applyAlignment="1">
      <alignment horizontal="justify" vertical="top"/>
    </xf>
    <xf numFmtId="0" fontId="11" fillId="0" borderId="14" xfId="7" applyFont="1" applyFill="1" applyBorder="1" applyAlignment="1">
      <alignment horizontal="justify" vertical="top"/>
    </xf>
    <xf numFmtId="0" fontId="9" fillId="0" borderId="14" xfId="7" applyFont="1" applyFill="1" applyBorder="1" applyAlignment="1">
      <alignment horizontal="left" vertical="top" wrapText="1"/>
    </xf>
    <xf numFmtId="0" fontId="10" fillId="0" borderId="14" xfId="7" applyFont="1" applyFill="1" applyBorder="1" applyAlignment="1">
      <alignment horizontal="left" vertical="top" wrapText="1"/>
    </xf>
    <xf numFmtId="0" fontId="9" fillId="0" borderId="14" xfId="7" applyFont="1" applyFill="1" applyBorder="1" applyAlignment="1">
      <alignment horizontal="center" vertical="center"/>
    </xf>
    <xf numFmtId="0" fontId="9" fillId="0" borderId="14" xfId="7" applyFont="1" applyFill="1" applyBorder="1" applyAlignment="1">
      <alignment horizontal="left" vertical="top"/>
    </xf>
    <xf numFmtId="0" fontId="2" fillId="0" borderId="15" xfId="52" applyFont="1" applyFill="1" applyBorder="1" applyAlignment="1">
      <alignment horizontal="center"/>
    </xf>
    <xf numFmtId="166" fontId="2" fillId="0" borderId="0" xfId="1" applyNumberFormat="1" applyFont="1"/>
    <xf numFmtId="167" fontId="2" fillId="0" borderId="0" xfId="1" applyNumberFormat="1" applyFont="1"/>
    <xf numFmtId="0" fontId="2" fillId="0" borderId="0" xfId="52" applyFont="1" applyFill="1" applyBorder="1"/>
    <xf numFmtId="0" fontId="2" fillId="0" borderId="0" xfId="52" applyFont="1" applyFill="1"/>
    <xf numFmtId="0" fontId="36" fillId="0" borderId="14" xfId="52" applyFont="1" applyFill="1" applyBorder="1" applyAlignment="1">
      <alignment horizontal="center"/>
    </xf>
    <xf numFmtId="0" fontId="36" fillId="0" borderId="14" xfId="7" applyFont="1" applyFill="1" applyBorder="1" applyAlignment="1">
      <alignment horizontal="left" vertical="top" wrapText="1"/>
    </xf>
    <xf numFmtId="0" fontId="36" fillId="0" borderId="14" xfId="7" applyFont="1" applyFill="1" applyBorder="1" applyAlignment="1">
      <alignment horizontal="center" vertical="center"/>
    </xf>
    <xf numFmtId="0" fontId="36" fillId="0" borderId="0" xfId="52" applyFont="1" applyFill="1" applyBorder="1"/>
    <xf numFmtId="0" fontId="36" fillId="0" borderId="0" xfId="52" applyFont="1" applyFill="1"/>
    <xf numFmtId="0" fontId="8" fillId="0" borderId="16" xfId="52" applyFont="1" applyFill="1" applyBorder="1" applyAlignment="1">
      <alignment horizontal="center" vertical="center"/>
    </xf>
    <xf numFmtId="0" fontId="8" fillId="0" borderId="16" xfId="52" applyFont="1" applyFill="1" applyBorder="1"/>
    <xf numFmtId="44" fontId="8" fillId="0" borderId="16" xfId="52" applyNumberFormat="1" applyFont="1" applyFill="1" applyBorder="1"/>
    <xf numFmtId="44" fontId="2" fillId="0" borderId="0" xfId="1" applyNumberFormat="1" applyFont="1"/>
    <xf numFmtId="4" fontId="2" fillId="0" borderId="14" xfId="66" applyNumberFormat="1" applyFont="1" applyFill="1" applyBorder="1" applyAlignment="1">
      <alignment horizontal="center" vertical="center"/>
    </xf>
    <xf numFmtId="0" fontId="2" fillId="0" borderId="0" xfId="68" applyFont="1" applyFill="1" applyBorder="1"/>
    <xf numFmtId="0" fontId="2" fillId="0" borderId="0" xfId="68" applyFont="1" applyFill="1"/>
    <xf numFmtId="0" fontId="37" fillId="0" borderId="14" xfId="74" applyFont="1" applyFill="1" applyBorder="1" applyAlignment="1">
      <alignment horizontal="justify" vertical="center" wrapText="1"/>
    </xf>
    <xf numFmtId="0" fontId="8" fillId="0" borderId="14" xfId="52" applyFont="1" applyFill="1" applyBorder="1" applyAlignment="1">
      <alignment horizontal="center"/>
    </xf>
    <xf numFmtId="0" fontId="8" fillId="0" borderId="14" xfId="52" applyFont="1" applyFill="1" applyBorder="1" applyAlignment="1">
      <alignment horizontal="center" vertical="center"/>
    </xf>
    <xf numFmtId="0" fontId="11" fillId="0" borderId="14" xfId="7" applyFont="1" applyFill="1" applyBorder="1" applyAlignment="1">
      <alignment horizontal="left" vertical="top" wrapText="1"/>
    </xf>
    <xf numFmtId="0" fontId="36" fillId="0" borderId="14" xfId="68" applyFont="1" applyFill="1" applyBorder="1" applyAlignment="1">
      <alignment horizontal="center"/>
    </xf>
    <xf numFmtId="0" fontId="36" fillId="0" borderId="0" xfId="68" applyFont="1" applyFill="1"/>
    <xf numFmtId="0" fontId="4" fillId="0" borderId="2" xfId="0" applyFont="1" applyFill="1" applyBorder="1" applyAlignment="1">
      <alignment horizontal="left"/>
    </xf>
    <xf numFmtId="0" fontId="4" fillId="0" borderId="17" xfId="0" applyFont="1" applyFill="1" applyBorder="1" applyAlignment="1">
      <alignment horizontal="left"/>
    </xf>
    <xf numFmtId="0" fontId="4" fillId="2" borderId="0" xfId="0" applyFont="1" applyFill="1" applyAlignment="1">
      <alignment horizontal="left"/>
    </xf>
    <xf numFmtId="0" fontId="4" fillId="2" borderId="18" xfId="0" applyFont="1" applyFill="1" applyBorder="1" applyAlignment="1">
      <alignment horizontal="left"/>
    </xf>
  </cellXfs>
  <cellStyles count="75">
    <cellStyle name="20% - Accent1 2" xfId="9"/>
    <cellStyle name="20% - Accent2 2" xfId="10"/>
    <cellStyle name="20% - Accent3 2" xfId="11"/>
    <cellStyle name="20% - Accent4 2" xfId="12"/>
    <cellStyle name="20% - Accent5 2" xfId="13"/>
    <cellStyle name="20% - Accent6 2" xfId="14"/>
    <cellStyle name="40% - Accent1 2" xfId="15"/>
    <cellStyle name="40% - Accent2 2" xfId="16"/>
    <cellStyle name="40% - Accent3 2" xfId="17"/>
    <cellStyle name="40% - Accent4 2" xfId="18"/>
    <cellStyle name="40% - Accent5 2" xfId="19"/>
    <cellStyle name="40% - Accent6 2" xfId="20"/>
    <cellStyle name="60% - Accent1 2" xfId="21"/>
    <cellStyle name="60% - Accent2 2" xfId="22"/>
    <cellStyle name="60% - Accent3 2" xfId="23"/>
    <cellStyle name="60% - Accent4 2" xfId="24"/>
    <cellStyle name="60% - Accent5 2" xfId="25"/>
    <cellStyle name="60% - Accent6 2" xfId="26"/>
    <cellStyle name="Accent1 2" xfId="27"/>
    <cellStyle name="Accent2 2" xfId="28"/>
    <cellStyle name="Accent3 2" xfId="29"/>
    <cellStyle name="Accent4 2" xfId="30"/>
    <cellStyle name="Accent5 2" xfId="31"/>
    <cellStyle name="Accent6 2" xfId="32"/>
    <cellStyle name="Bad 2" xfId="33"/>
    <cellStyle name="Calculation 2" xfId="34"/>
    <cellStyle name="Check Cell 2" xfId="35"/>
    <cellStyle name="Comma" xfId="8" builtinId="3"/>
    <cellStyle name="Comma 2" xfId="56"/>
    <cellStyle name="Comma 2 2" xfId="66"/>
    <cellStyle name="Comma 3" xfId="53"/>
    <cellStyle name="Comma 3 2" xfId="59"/>
    <cellStyle name="Comma 3 2 2" xfId="69"/>
    <cellStyle name="Comma 3 3" xfId="64"/>
    <cellStyle name="Comma 4" xfId="61"/>
    <cellStyle name="Comma 5" xfId="73"/>
    <cellStyle name="Comma 6" xfId="50"/>
    <cellStyle name="Explanatory Text 2" xfId="36"/>
    <cellStyle name="Good 2" xfId="37"/>
    <cellStyle name="Heading 1 2" xfId="38"/>
    <cellStyle name="Heading 2 2" xfId="39"/>
    <cellStyle name="Heading 3 2" xfId="40"/>
    <cellStyle name="Heading 4 2" xfId="41"/>
    <cellStyle name="Input 2" xfId="42"/>
    <cellStyle name="Jihad" xfId="2"/>
    <cellStyle name="Linked Cell 2" xfId="43"/>
    <cellStyle name="Neutral 2" xfId="44"/>
    <cellStyle name="Normal" xfId="0" builtinId="0"/>
    <cellStyle name="Normal 2" xfId="1"/>
    <cellStyle name="Normal 3" xfId="3"/>
    <cellStyle name="Normal 3 2" xfId="54"/>
    <cellStyle name="Normal 3 2 2" xfId="60"/>
    <cellStyle name="Normal 3 2 2 2" xfId="70"/>
    <cellStyle name="Normal 3 2 3" xfId="65"/>
    <cellStyle name="Normal 4" xfId="4"/>
    <cellStyle name="Normal 4 2" xfId="55"/>
    <cellStyle name="Normal 5" xfId="51"/>
    <cellStyle name="Normal 5 2" xfId="57"/>
    <cellStyle name="Normal 5 2 2" xfId="67"/>
    <cellStyle name="Normal 5 3" xfId="62"/>
    <cellStyle name="Normal 6" xfId="52"/>
    <cellStyle name="Normal 6 2" xfId="58"/>
    <cellStyle name="Normal 6 2 2" xfId="68"/>
    <cellStyle name="Normal 6 3" xfId="63"/>
    <cellStyle name="Normal 7" xfId="71"/>
    <cellStyle name="Normal 8" xfId="5"/>
    <cellStyle name="Normal 9" xfId="72"/>
    <cellStyle name="Normal_120-10" xfId="7"/>
    <cellStyle name="Normal_9505BQE2" xfId="74"/>
    <cellStyle name="Note 2" xfId="45"/>
    <cellStyle name="Output 2" xfId="46"/>
    <cellStyle name="Style 1" xfId="6"/>
    <cellStyle name="Title 2" xfId="47"/>
    <cellStyle name="Total 2" xfId="48"/>
    <cellStyle name="Warning Text 2" xfId="4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0</xdr:rowOff>
    </xdr:from>
    <xdr:to>
      <xdr:col>0</xdr:col>
      <xdr:colOff>190500</xdr:colOff>
      <xdr:row>0</xdr:row>
      <xdr:rowOff>114300</xdr:rowOff>
    </xdr:to>
    <xdr:pic>
      <xdr:nvPicPr>
        <xdr:cNvPr id="2" name="Picture 6" descr="bd14830_"/>
        <xdr:cNvPicPr>
          <a:picLocks noChangeAspect="1" noChangeArrowheads="1"/>
        </xdr:cNvPicPr>
      </xdr:nvPicPr>
      <xdr:blipFill>
        <a:blip xmlns:r="http://schemas.openxmlformats.org/officeDocument/2006/relationships" r:embed="rId1" cstate="print"/>
        <a:srcRect/>
        <a:stretch>
          <a:fillRect/>
        </a:stretch>
      </xdr:blipFill>
      <xdr:spPr bwMode="auto">
        <a:xfrm>
          <a:off x="76200" y="1162050"/>
          <a:ext cx="114300" cy="1143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8</xdr:row>
      <xdr:rowOff>19050</xdr:rowOff>
    </xdr:from>
    <xdr:to>
      <xdr:col>0</xdr:col>
      <xdr:colOff>190500</xdr:colOff>
      <xdr:row>8</xdr:row>
      <xdr:rowOff>133350</xdr:rowOff>
    </xdr:to>
    <xdr:pic>
      <xdr:nvPicPr>
        <xdr:cNvPr id="2" name="Picture 4" descr="bd14830_"/>
        <xdr:cNvPicPr>
          <a:picLocks noChangeAspect="1" noChangeArrowheads="1"/>
        </xdr:cNvPicPr>
      </xdr:nvPicPr>
      <xdr:blipFill>
        <a:blip xmlns:r="http://schemas.openxmlformats.org/officeDocument/2006/relationships" r:embed="rId1" cstate="print"/>
        <a:srcRect/>
        <a:stretch>
          <a:fillRect/>
        </a:stretch>
      </xdr:blipFill>
      <xdr:spPr bwMode="auto">
        <a:xfrm>
          <a:off x="76200" y="1247775"/>
          <a:ext cx="114300" cy="114300"/>
        </a:xfrm>
        <a:prstGeom prst="rect">
          <a:avLst/>
        </a:prstGeom>
        <a:noFill/>
        <a:ln w="9525">
          <a:noFill/>
          <a:miter lim="800000"/>
          <a:headEnd/>
          <a:tailEnd/>
        </a:ln>
      </xdr:spPr>
    </xdr:pic>
    <xdr:clientData/>
  </xdr:twoCellAnchor>
  <xdr:twoCellAnchor editAs="oneCell">
    <xdr:from>
      <xdr:col>0</xdr:col>
      <xdr:colOff>0</xdr:colOff>
      <xdr:row>0</xdr:row>
      <xdr:rowOff>0</xdr:rowOff>
    </xdr:from>
    <xdr:to>
      <xdr:col>2</xdr:col>
      <xdr:colOff>685800</xdr:colOff>
      <xdr:row>3</xdr:row>
      <xdr:rowOff>76200</xdr:rowOff>
    </xdr:to>
    <xdr:pic>
      <xdr:nvPicPr>
        <xdr:cNvPr id="3" name="Picture 3" descr="erga group.jpg"/>
        <xdr:cNvPicPr>
          <a:picLocks noChangeAspect="1"/>
        </xdr:cNvPicPr>
      </xdr:nvPicPr>
      <xdr:blipFill>
        <a:blip xmlns:r="http://schemas.openxmlformats.org/officeDocument/2006/relationships" r:embed="rId2" cstate="print"/>
        <a:srcRect/>
        <a:stretch>
          <a:fillRect/>
        </a:stretch>
      </xdr:blipFill>
      <xdr:spPr bwMode="auto">
        <a:xfrm>
          <a:off x="0" y="0"/>
          <a:ext cx="1438275" cy="4857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Views>
    <sheetView tabSelected="1" view="pageBreakPreview" zoomScaleSheetLayoutView="100" workbookViewId="0">
      <selection sqref="A1:XFD4"/>
    </sheetView>
  </sheetViews>
  <sheetFormatPr defaultRowHeight="12.75" x14ac:dyDescent="0.2"/>
  <cols>
    <col min="1" max="1" width="6.42578125" style="2" customWidth="1"/>
    <col min="2" max="2" width="5.140625" style="2" customWidth="1"/>
    <col min="3" max="3" width="47" style="1" customWidth="1"/>
    <col min="4" max="4" width="6.28515625" style="1" customWidth="1"/>
    <col min="5" max="5" width="10.140625" style="1" customWidth="1"/>
    <col min="6" max="7" width="11.5703125" style="1" customWidth="1"/>
    <col min="8" max="8" width="8.42578125" style="1" customWidth="1"/>
    <col min="9" max="16384" width="9.140625" style="1"/>
  </cols>
  <sheetData>
    <row r="1" spans="1:7" s="28" customFormat="1" x14ac:dyDescent="0.2">
      <c r="A1" s="21" t="s">
        <v>18</v>
      </c>
      <c r="B1" s="21" t="s">
        <v>13</v>
      </c>
      <c r="C1" s="21" t="s">
        <v>19</v>
      </c>
      <c r="D1" s="21" t="s">
        <v>20</v>
      </c>
      <c r="E1" s="21" t="s">
        <v>21</v>
      </c>
      <c r="F1" s="21" t="s">
        <v>22</v>
      </c>
      <c r="G1" s="21" t="s">
        <v>14</v>
      </c>
    </row>
    <row r="2" spans="1:7" s="28" customFormat="1" ht="13.5" thickBot="1" x14ac:dyDescent="0.25">
      <c r="A2" s="29"/>
      <c r="B2" s="29" t="s">
        <v>23</v>
      </c>
      <c r="C2" s="29"/>
      <c r="D2" s="29"/>
      <c r="E2" s="29"/>
      <c r="F2" s="30" t="s">
        <v>15</v>
      </c>
      <c r="G2" s="31" t="s">
        <v>15</v>
      </c>
    </row>
    <row r="3" spans="1:7" x14ac:dyDescent="0.2">
      <c r="A3" s="36"/>
      <c r="B3" s="37"/>
      <c r="C3" s="39"/>
      <c r="D3" s="36"/>
      <c r="E3" s="42"/>
      <c r="F3" s="38"/>
      <c r="G3" s="38"/>
    </row>
    <row r="4" spans="1:7" x14ac:dyDescent="0.2">
      <c r="A4" s="53"/>
      <c r="B4" s="52"/>
      <c r="C4" s="48" t="s">
        <v>17</v>
      </c>
      <c r="D4" s="53"/>
      <c r="E4" s="55"/>
      <c r="F4" s="54"/>
      <c r="G4" s="54"/>
    </row>
    <row r="5" spans="1:7" x14ac:dyDescent="0.2">
      <c r="A5" s="36"/>
      <c r="B5" s="37"/>
      <c r="C5" s="39"/>
      <c r="D5" s="36"/>
      <c r="E5" s="42"/>
      <c r="F5" s="38"/>
      <c r="G5" s="38"/>
    </row>
    <row r="6" spans="1:7" x14ac:dyDescent="0.2">
      <c r="A6" s="22">
        <v>16</v>
      </c>
      <c r="B6" s="23" t="s">
        <v>27</v>
      </c>
      <c r="C6" s="45" t="s">
        <v>34</v>
      </c>
      <c r="D6" s="59"/>
      <c r="E6" s="59"/>
      <c r="F6" s="60"/>
      <c r="G6" s="61"/>
    </row>
    <row r="7" spans="1:7" x14ac:dyDescent="0.2">
      <c r="A7" s="22"/>
      <c r="B7" s="23"/>
      <c r="C7" s="45"/>
      <c r="D7" s="59"/>
      <c r="E7" s="59"/>
      <c r="F7" s="60"/>
      <c r="G7" s="61"/>
    </row>
    <row r="8" spans="1:7" x14ac:dyDescent="0.2">
      <c r="A8" s="62"/>
      <c r="B8" s="66"/>
      <c r="C8" s="79" t="s">
        <v>29</v>
      </c>
      <c r="D8" s="64"/>
      <c r="E8" s="80"/>
      <c r="F8" s="63"/>
      <c r="G8" s="63"/>
    </row>
    <row r="9" spans="1:7" x14ac:dyDescent="0.2">
      <c r="A9" s="71"/>
      <c r="B9" s="73"/>
      <c r="C9" s="69" t="s">
        <v>30</v>
      </c>
      <c r="D9" s="80"/>
      <c r="E9" s="80"/>
      <c r="F9" s="67"/>
      <c r="G9" s="67"/>
    </row>
    <row r="10" spans="1:7" ht="63.75" x14ac:dyDescent="0.2">
      <c r="A10" s="71"/>
      <c r="B10" s="73"/>
      <c r="C10" s="77" t="s">
        <v>35</v>
      </c>
      <c r="D10" s="80"/>
      <c r="E10" s="80"/>
      <c r="F10" s="67"/>
      <c r="G10" s="67"/>
    </row>
    <row r="11" spans="1:7" x14ac:dyDescent="0.2">
      <c r="A11" s="71"/>
      <c r="B11" s="66"/>
      <c r="C11" s="76"/>
      <c r="D11" s="80"/>
      <c r="E11" s="80"/>
      <c r="F11" s="67"/>
      <c r="G11" s="67"/>
    </row>
    <row r="12" spans="1:7" x14ac:dyDescent="0.2">
      <c r="A12" s="71"/>
      <c r="B12" s="66">
        <v>1</v>
      </c>
      <c r="C12" s="76" t="s">
        <v>40</v>
      </c>
      <c r="D12" s="80" t="s">
        <v>31</v>
      </c>
      <c r="E12" s="80">
        <v>125</v>
      </c>
      <c r="F12" s="67"/>
      <c r="G12" s="67"/>
    </row>
    <row r="13" spans="1:7" x14ac:dyDescent="0.2">
      <c r="A13" s="71"/>
      <c r="B13" s="66"/>
      <c r="C13" s="76"/>
      <c r="D13" s="80"/>
      <c r="E13" s="80"/>
      <c r="F13" s="67"/>
      <c r="G13" s="67"/>
    </row>
    <row r="14" spans="1:7" x14ac:dyDescent="0.2">
      <c r="A14" s="71"/>
      <c r="B14" s="66">
        <v>2</v>
      </c>
      <c r="C14" s="76" t="s">
        <v>55</v>
      </c>
      <c r="D14" s="80" t="s">
        <v>31</v>
      </c>
      <c r="E14" s="80">
        <v>40</v>
      </c>
      <c r="F14" s="67"/>
      <c r="G14" s="67"/>
    </row>
    <row r="15" spans="1:7" x14ac:dyDescent="0.2">
      <c r="A15" s="71"/>
      <c r="B15" s="66"/>
      <c r="C15" s="76"/>
      <c r="D15" s="80"/>
      <c r="E15" s="80"/>
      <c r="F15" s="67"/>
      <c r="G15" s="67"/>
    </row>
    <row r="16" spans="1:7" x14ac:dyDescent="0.2">
      <c r="A16" s="65"/>
      <c r="B16" s="66"/>
      <c r="C16" s="69" t="s">
        <v>32</v>
      </c>
      <c r="D16" s="80"/>
      <c r="E16" s="80"/>
      <c r="F16" s="63"/>
      <c r="G16" s="67"/>
    </row>
    <row r="17" spans="1:8" ht="51" x14ac:dyDescent="0.2">
      <c r="A17" s="65"/>
      <c r="B17" s="66"/>
      <c r="C17" s="77" t="s">
        <v>33</v>
      </c>
      <c r="D17" s="80"/>
      <c r="E17" s="80"/>
      <c r="F17" s="63"/>
      <c r="G17" s="67"/>
    </row>
    <row r="18" spans="1:8" x14ac:dyDescent="0.2">
      <c r="A18" s="65"/>
      <c r="B18" s="66"/>
      <c r="C18" s="81"/>
      <c r="D18" s="80"/>
      <c r="E18" s="80"/>
      <c r="F18" s="63"/>
      <c r="G18" s="67"/>
    </row>
    <row r="19" spans="1:8" x14ac:dyDescent="0.2">
      <c r="A19" s="65"/>
      <c r="B19" s="66">
        <v>3</v>
      </c>
      <c r="C19" s="76" t="s">
        <v>41</v>
      </c>
      <c r="D19" s="80" t="s">
        <v>31</v>
      </c>
      <c r="E19" s="80">
        <v>125</v>
      </c>
      <c r="F19" s="63"/>
      <c r="G19" s="67"/>
    </row>
    <row r="20" spans="1:8" x14ac:dyDescent="0.2">
      <c r="A20" s="65"/>
      <c r="B20" s="66"/>
      <c r="C20" s="76"/>
      <c r="D20" s="80"/>
      <c r="E20" s="80"/>
      <c r="F20" s="63"/>
      <c r="G20" s="67"/>
    </row>
    <row r="21" spans="1:8" x14ac:dyDescent="0.2">
      <c r="A21" s="65"/>
      <c r="B21" s="66">
        <v>4</v>
      </c>
      <c r="C21" s="76" t="s">
        <v>56</v>
      </c>
      <c r="D21" s="80" t="s">
        <v>31</v>
      </c>
      <c r="E21" s="80">
        <v>40</v>
      </c>
      <c r="F21" s="63"/>
      <c r="G21" s="67"/>
    </row>
    <row r="22" spans="1:8" x14ac:dyDescent="0.2">
      <c r="A22" s="65"/>
      <c r="B22" s="66"/>
      <c r="C22" s="76"/>
      <c r="D22" s="80"/>
      <c r="E22" s="80"/>
      <c r="F22" s="63"/>
      <c r="G22" s="67"/>
    </row>
    <row r="23" spans="1:8" s="86" customFormat="1" x14ac:dyDescent="0.2">
      <c r="A23" s="65"/>
      <c r="B23" s="66"/>
      <c r="C23" s="79" t="s">
        <v>42</v>
      </c>
      <c r="D23" s="80"/>
      <c r="E23" s="80"/>
      <c r="F23" s="68"/>
      <c r="G23" s="67"/>
      <c r="H23" s="85"/>
    </row>
    <row r="24" spans="1:8" s="86" customFormat="1" ht="56.25" customHeight="1" x14ac:dyDescent="0.2">
      <c r="A24" s="65"/>
      <c r="B24" s="66" t="s">
        <v>16</v>
      </c>
      <c r="C24" s="77" t="s">
        <v>43</v>
      </c>
      <c r="D24" s="80"/>
      <c r="E24" s="80"/>
      <c r="F24" s="68"/>
      <c r="G24" s="67"/>
      <c r="H24" s="85"/>
    </row>
    <row r="25" spans="1:8" s="91" customFormat="1" x14ac:dyDescent="0.2">
      <c r="A25" s="87"/>
      <c r="B25" s="66"/>
      <c r="C25" s="88"/>
      <c r="D25" s="89"/>
      <c r="E25" s="89"/>
      <c r="F25" s="68"/>
      <c r="G25" s="67"/>
      <c r="H25" s="90"/>
    </row>
    <row r="26" spans="1:8" s="86" customFormat="1" ht="16.5" customHeight="1" x14ac:dyDescent="0.2">
      <c r="A26" s="65"/>
      <c r="B26" s="66">
        <v>5</v>
      </c>
      <c r="C26" s="81" t="s">
        <v>70</v>
      </c>
      <c r="D26" s="80" t="s">
        <v>28</v>
      </c>
      <c r="E26" s="80">
        <v>1</v>
      </c>
      <c r="F26" s="68"/>
      <c r="G26" s="67"/>
      <c r="H26" s="85"/>
    </row>
    <row r="27" spans="1:8" s="86" customFormat="1" x14ac:dyDescent="0.2">
      <c r="A27" s="65"/>
      <c r="B27" s="66"/>
      <c r="C27" s="81"/>
      <c r="D27" s="80"/>
      <c r="E27" s="80"/>
      <c r="F27" s="68"/>
      <c r="G27" s="67"/>
      <c r="H27" s="85"/>
    </row>
    <row r="28" spans="1:8" s="86" customFormat="1" x14ac:dyDescent="0.2">
      <c r="A28" s="65"/>
      <c r="B28" s="66">
        <v>6</v>
      </c>
      <c r="C28" s="81" t="s">
        <v>44</v>
      </c>
      <c r="D28" s="80" t="s">
        <v>28</v>
      </c>
      <c r="E28" s="80">
        <v>1</v>
      </c>
      <c r="F28" s="68"/>
      <c r="G28" s="67"/>
      <c r="H28" s="85"/>
    </row>
    <row r="29" spans="1:8" s="86" customFormat="1" x14ac:dyDescent="0.2">
      <c r="A29" s="65"/>
      <c r="B29" s="66"/>
      <c r="C29" s="81"/>
      <c r="D29" s="80"/>
      <c r="E29" s="80"/>
      <c r="F29" s="68"/>
      <c r="G29" s="67"/>
      <c r="H29" s="85"/>
    </row>
    <row r="30" spans="1:8" x14ac:dyDescent="0.2">
      <c r="A30" s="71"/>
      <c r="B30" s="73"/>
      <c r="C30" s="69" t="s">
        <v>36</v>
      </c>
      <c r="D30" s="80"/>
      <c r="E30" s="80"/>
      <c r="F30" s="67"/>
      <c r="G30" s="67"/>
    </row>
    <row r="31" spans="1:8" ht="85.5" customHeight="1" x14ac:dyDescent="0.2">
      <c r="A31" s="71"/>
      <c r="B31" s="73"/>
      <c r="C31" s="77" t="s">
        <v>37</v>
      </c>
      <c r="D31" s="80"/>
      <c r="E31" s="80"/>
      <c r="F31" s="67"/>
      <c r="G31" s="67"/>
    </row>
    <row r="32" spans="1:8" x14ac:dyDescent="0.2">
      <c r="A32" s="71"/>
      <c r="B32" s="73"/>
      <c r="C32" s="77"/>
      <c r="D32" s="80"/>
      <c r="E32" s="80"/>
      <c r="F32" s="67"/>
      <c r="G32" s="67"/>
    </row>
    <row r="33" spans="1:8" x14ac:dyDescent="0.2">
      <c r="A33" s="71"/>
      <c r="B33" s="73">
        <v>7</v>
      </c>
      <c r="C33" s="78" t="s">
        <v>69</v>
      </c>
      <c r="D33" s="80" t="s">
        <v>28</v>
      </c>
      <c r="E33" s="80">
        <v>1</v>
      </c>
      <c r="F33" s="67"/>
      <c r="G33" s="67"/>
    </row>
    <row r="34" spans="1:8" x14ac:dyDescent="0.2">
      <c r="A34" s="71"/>
      <c r="B34" s="73"/>
      <c r="C34" s="78"/>
      <c r="D34" s="80"/>
      <c r="E34" s="80"/>
      <c r="F34" s="67"/>
      <c r="G34" s="67"/>
    </row>
    <row r="35" spans="1:8" x14ac:dyDescent="0.2">
      <c r="A35" s="71"/>
      <c r="B35" s="73">
        <v>8</v>
      </c>
      <c r="C35" s="78" t="s">
        <v>45</v>
      </c>
      <c r="D35" s="80" t="s">
        <v>28</v>
      </c>
      <c r="E35" s="80">
        <v>1</v>
      </c>
      <c r="F35" s="67"/>
      <c r="G35" s="67"/>
    </row>
    <row r="36" spans="1:8" x14ac:dyDescent="0.2">
      <c r="A36" s="71"/>
      <c r="B36" s="73"/>
      <c r="C36" s="78"/>
      <c r="D36" s="80"/>
      <c r="E36" s="80"/>
      <c r="F36" s="67"/>
      <c r="G36" s="67"/>
    </row>
    <row r="37" spans="1:8" x14ac:dyDescent="0.2">
      <c r="A37" s="65"/>
      <c r="B37" s="66"/>
      <c r="C37" s="72" t="s">
        <v>38</v>
      </c>
      <c r="D37" s="80"/>
      <c r="E37" s="80"/>
      <c r="F37" s="68"/>
      <c r="G37" s="67"/>
    </row>
    <row r="38" spans="1:8" ht="63.75" x14ac:dyDescent="0.2">
      <c r="A38" s="65"/>
      <c r="B38" s="66"/>
      <c r="C38" s="75" t="s">
        <v>39</v>
      </c>
      <c r="D38" s="80"/>
      <c r="E38" s="80"/>
      <c r="F38" s="68"/>
      <c r="G38" s="67"/>
    </row>
    <row r="39" spans="1:8" x14ac:dyDescent="0.2">
      <c r="A39" s="65"/>
      <c r="B39" s="66"/>
      <c r="C39" s="76"/>
      <c r="D39" s="80"/>
      <c r="E39" s="70"/>
      <c r="F39" s="68"/>
      <c r="G39" s="67"/>
    </row>
    <row r="40" spans="1:8" x14ac:dyDescent="0.2">
      <c r="A40" s="65"/>
      <c r="B40" s="66">
        <v>9</v>
      </c>
      <c r="C40" s="76" t="s">
        <v>46</v>
      </c>
      <c r="D40" s="80" t="s">
        <v>28</v>
      </c>
      <c r="E40" s="74">
        <v>1</v>
      </c>
      <c r="F40" s="68"/>
      <c r="G40" s="67"/>
    </row>
    <row r="41" spans="1:8" x14ac:dyDescent="0.2">
      <c r="A41" s="65"/>
      <c r="B41" s="66"/>
      <c r="C41" s="76"/>
      <c r="D41" s="80"/>
      <c r="E41" s="70"/>
      <c r="F41" s="68"/>
      <c r="G41" s="67"/>
    </row>
    <row r="42" spans="1:8" s="86" customFormat="1" x14ac:dyDescent="0.2">
      <c r="A42" s="82"/>
      <c r="B42" s="92"/>
      <c r="C42" s="93" t="s">
        <v>50</v>
      </c>
      <c r="D42" s="93"/>
      <c r="E42" s="93"/>
      <c r="F42" s="93"/>
      <c r="G42" s="94">
        <f>SUM(G10:G40)</f>
        <v>0</v>
      </c>
      <c r="H42" s="85"/>
    </row>
    <row r="43" spans="1:8" x14ac:dyDescent="0.2">
      <c r="G43" s="84"/>
    </row>
  </sheetData>
  <pageMargins left="0.39370078740157499" right="0.23622047244094499" top="0.27559055118110198" bottom="0.55118110236220497" header="0.23622047244094499" footer="0.196850393700787"/>
  <pageSetup paperSize="9" orientation="portrait" horizontalDpi="4294967292" verticalDpi="1200" r:id="rId1"/>
  <headerFooter alignWithMargins="0">
    <oddFooter>&amp;L&amp;8MARINA GATE
ERGA GROUP / Date: 26-January-2015 / Rev: 00 / &amp;F&amp;R&amp;8B07 - 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79"/>
  <sheetViews>
    <sheetView view="pageBreakPreview" zoomScaleSheetLayoutView="100" workbookViewId="0">
      <selection activeCell="G31" sqref="G31"/>
    </sheetView>
  </sheetViews>
  <sheetFormatPr defaultRowHeight="12.75" x14ac:dyDescent="0.2"/>
  <cols>
    <col min="1" max="1" width="6.42578125" style="2" customWidth="1"/>
    <col min="2" max="2" width="4.85546875" style="2" customWidth="1"/>
    <col min="3" max="3" width="46.28515625" style="1" customWidth="1"/>
    <col min="4" max="4" width="6.28515625" style="1" customWidth="1"/>
    <col min="5" max="5" width="10.140625" style="1" customWidth="1"/>
    <col min="6" max="7" width="11.5703125" style="1" customWidth="1"/>
    <col min="8" max="8" width="8.42578125" style="1" customWidth="1"/>
    <col min="9" max="16384" width="9.140625" style="1"/>
  </cols>
  <sheetData>
    <row r="3" spans="1:8" ht="6.75" customHeight="1" x14ac:dyDescent="0.2"/>
    <row r="4" spans="1:8" ht="13.5" customHeight="1" x14ac:dyDescent="0.2">
      <c r="B4" s="3"/>
    </row>
    <row r="5" spans="1:8" x14ac:dyDescent="0.2">
      <c r="A5" s="4" t="s">
        <v>0</v>
      </c>
      <c r="B5" s="105" t="e">
        <f>#REF!</f>
        <v>#REF!</v>
      </c>
      <c r="C5" s="106"/>
      <c r="D5" s="5" t="s">
        <v>1</v>
      </c>
      <c r="E5" s="6" t="e">
        <f>#REF!</f>
        <v>#REF!</v>
      </c>
      <c r="F5" s="7" t="s">
        <v>2</v>
      </c>
      <c r="G5" s="8" t="e">
        <f>#REF!</f>
        <v>#REF!</v>
      </c>
    </row>
    <row r="6" spans="1:8" x14ac:dyDescent="0.2">
      <c r="A6" s="9" t="s">
        <v>3</v>
      </c>
      <c r="B6" s="107" t="e">
        <f>#REF!</f>
        <v>#REF!</v>
      </c>
      <c r="C6" s="108"/>
      <c r="D6" s="10" t="s">
        <v>4</v>
      </c>
      <c r="E6" s="11" t="s">
        <v>24</v>
      </c>
      <c r="F6" s="12" t="s">
        <v>5</v>
      </c>
      <c r="G6" s="13" t="e">
        <f>#REF!</f>
        <v>#REF!</v>
      </c>
    </row>
    <row r="7" spans="1:8" x14ac:dyDescent="0.2">
      <c r="A7" s="9" t="s">
        <v>6</v>
      </c>
      <c r="B7" s="14" t="s">
        <v>7</v>
      </c>
      <c r="C7" s="25"/>
      <c r="D7" s="10" t="s">
        <v>8</v>
      </c>
      <c r="E7" s="15" t="s">
        <v>26</v>
      </c>
      <c r="F7" s="12" t="s">
        <v>9</v>
      </c>
      <c r="G7" s="26" t="e">
        <f>#REF!</f>
        <v>#REF!</v>
      </c>
    </row>
    <row r="8" spans="1:8" x14ac:dyDescent="0.2">
      <c r="A8" s="9" t="s">
        <v>10</v>
      </c>
      <c r="B8" s="14" t="e">
        <f>#REF!</f>
        <v>#REF!</v>
      </c>
      <c r="C8" s="25"/>
      <c r="D8" s="12" t="s">
        <v>11</v>
      </c>
      <c r="E8" s="11" t="s">
        <v>51</v>
      </c>
      <c r="F8" s="12" t="s">
        <v>12</v>
      </c>
      <c r="G8" s="13"/>
    </row>
    <row r="9" spans="1:8" x14ac:dyDescent="0.2">
      <c r="A9" s="16"/>
      <c r="B9" s="17" t="s">
        <v>25</v>
      </c>
      <c r="C9" s="27"/>
      <c r="D9" s="18"/>
      <c r="E9" s="19"/>
      <c r="F9" s="18"/>
      <c r="G9" s="20"/>
    </row>
    <row r="11" spans="1:8" s="28" customFormat="1" x14ac:dyDescent="0.2">
      <c r="A11" s="21" t="s">
        <v>18</v>
      </c>
      <c r="B11" s="21" t="s">
        <v>13</v>
      </c>
      <c r="C11" s="21" t="s">
        <v>19</v>
      </c>
      <c r="D11" s="21" t="s">
        <v>20</v>
      </c>
      <c r="E11" s="21" t="s">
        <v>21</v>
      </c>
      <c r="F11" s="21" t="s">
        <v>22</v>
      </c>
      <c r="G11" s="21" t="s">
        <v>14</v>
      </c>
    </row>
    <row r="12" spans="1:8" s="28" customFormat="1" ht="13.5" thickBot="1" x14ac:dyDescent="0.25">
      <c r="A12" s="29"/>
      <c r="B12" s="29" t="s">
        <v>23</v>
      </c>
      <c r="C12" s="29"/>
      <c r="D12" s="29"/>
      <c r="E12" s="29"/>
      <c r="F12" s="30" t="s">
        <v>15</v>
      </c>
      <c r="G12" s="31" t="s">
        <v>15</v>
      </c>
    </row>
    <row r="13" spans="1:8" x14ac:dyDescent="0.2">
      <c r="A13" s="24"/>
      <c r="B13" s="32"/>
      <c r="C13" s="33"/>
      <c r="D13" s="33"/>
      <c r="E13" s="33"/>
      <c r="F13" s="34"/>
      <c r="G13" s="35"/>
    </row>
    <row r="14" spans="1:8" x14ac:dyDescent="0.2">
      <c r="A14" s="47"/>
      <c r="B14" s="47"/>
      <c r="C14" s="48" t="s">
        <v>17</v>
      </c>
      <c r="D14" s="49"/>
      <c r="E14" s="49"/>
      <c r="F14" s="50"/>
      <c r="G14" s="51"/>
    </row>
    <row r="15" spans="1:8" s="98" customFormat="1" x14ac:dyDescent="0.2">
      <c r="A15" s="71"/>
      <c r="B15" s="73"/>
      <c r="C15" s="78"/>
      <c r="D15" s="80"/>
      <c r="E15" s="80"/>
      <c r="F15" s="67"/>
      <c r="G15" s="96"/>
      <c r="H15" s="97"/>
    </row>
    <row r="16" spans="1:8" s="98" customFormat="1" x14ac:dyDescent="0.2">
      <c r="A16" s="71"/>
      <c r="B16" s="73"/>
      <c r="C16" s="79" t="s">
        <v>52</v>
      </c>
      <c r="D16" s="80"/>
      <c r="E16" s="80"/>
      <c r="F16" s="67"/>
      <c r="G16" s="96"/>
      <c r="H16" s="97"/>
    </row>
    <row r="17" spans="1:8" s="98" customFormat="1" ht="76.5" x14ac:dyDescent="0.2">
      <c r="A17" s="71"/>
      <c r="B17" s="73"/>
      <c r="C17" s="99" t="s">
        <v>53</v>
      </c>
      <c r="D17" s="80"/>
      <c r="E17" s="80"/>
      <c r="F17" s="67"/>
      <c r="G17" s="96"/>
      <c r="H17" s="97"/>
    </row>
    <row r="18" spans="1:8" s="98" customFormat="1" x14ac:dyDescent="0.2">
      <c r="A18" s="71"/>
      <c r="B18" s="73"/>
      <c r="C18" s="78"/>
      <c r="D18" s="80"/>
      <c r="E18" s="80"/>
      <c r="F18" s="67"/>
      <c r="G18" s="96"/>
      <c r="H18" s="97"/>
    </row>
    <row r="19" spans="1:8" s="98" customFormat="1" x14ac:dyDescent="0.2">
      <c r="A19" s="71"/>
      <c r="B19" s="66">
        <v>1</v>
      </c>
      <c r="C19" s="76" t="s">
        <v>54</v>
      </c>
      <c r="D19" s="80" t="s">
        <v>28</v>
      </c>
      <c r="E19" s="80">
        <v>2</v>
      </c>
      <c r="F19" s="67"/>
      <c r="G19" s="67"/>
      <c r="H19" s="97"/>
    </row>
    <row r="20" spans="1:8" x14ac:dyDescent="0.2">
      <c r="A20" s="24"/>
      <c r="B20" s="24"/>
      <c r="C20" s="43"/>
      <c r="D20" s="43"/>
      <c r="E20" s="44"/>
      <c r="F20" s="40"/>
      <c r="G20" s="41"/>
    </row>
    <row r="21" spans="1:8" s="98" customFormat="1" x14ac:dyDescent="0.2">
      <c r="A21" s="71"/>
      <c r="B21" s="66">
        <v>2</v>
      </c>
      <c r="C21" s="76" t="s">
        <v>72</v>
      </c>
      <c r="D21" s="80" t="s">
        <v>28</v>
      </c>
      <c r="E21" s="80">
        <v>2</v>
      </c>
      <c r="F21" s="67"/>
      <c r="G21" s="67"/>
      <c r="H21" s="97"/>
    </row>
    <row r="22" spans="1:8" x14ac:dyDescent="0.2">
      <c r="A22" s="24"/>
      <c r="B22" s="24"/>
      <c r="C22" s="43"/>
      <c r="D22" s="43"/>
      <c r="E22" s="44"/>
      <c r="F22" s="40"/>
      <c r="G22" s="41"/>
    </row>
    <row r="23" spans="1:8" x14ac:dyDescent="0.2">
      <c r="A23" s="22">
        <v>16</v>
      </c>
      <c r="B23" s="23" t="s">
        <v>27</v>
      </c>
      <c r="C23" s="45" t="s">
        <v>34</v>
      </c>
      <c r="D23" s="59"/>
      <c r="E23" s="59"/>
      <c r="F23" s="60"/>
      <c r="G23" s="61"/>
    </row>
    <row r="24" spans="1:8" x14ac:dyDescent="0.2">
      <c r="A24" s="24"/>
      <c r="B24" s="46"/>
      <c r="C24" s="58"/>
      <c r="D24" s="57"/>
      <c r="E24" s="56"/>
      <c r="F24" s="40"/>
      <c r="G24" s="41"/>
    </row>
    <row r="25" spans="1:8" x14ac:dyDescent="0.2">
      <c r="A25" s="62"/>
      <c r="B25" s="66"/>
      <c r="C25" s="79" t="s">
        <v>29</v>
      </c>
      <c r="D25" s="64"/>
      <c r="E25" s="80"/>
      <c r="F25" s="63"/>
      <c r="G25" s="63"/>
    </row>
    <row r="26" spans="1:8" x14ac:dyDescent="0.2">
      <c r="A26" s="71"/>
      <c r="B26" s="73"/>
      <c r="C26" s="69" t="s">
        <v>30</v>
      </c>
      <c r="D26" s="80"/>
      <c r="E26" s="80"/>
      <c r="F26" s="67"/>
      <c r="G26" s="67"/>
    </row>
    <row r="27" spans="1:8" ht="63.75" x14ac:dyDescent="0.2">
      <c r="A27" s="71"/>
      <c r="B27" s="73"/>
      <c r="C27" s="77" t="s">
        <v>35</v>
      </c>
      <c r="D27" s="80"/>
      <c r="E27" s="80"/>
      <c r="F27" s="67"/>
      <c r="G27" s="67"/>
    </row>
    <row r="28" spans="1:8" x14ac:dyDescent="0.2">
      <c r="A28" s="71"/>
      <c r="B28" s="66"/>
      <c r="C28" s="76"/>
      <c r="D28" s="80"/>
      <c r="E28" s="80"/>
      <c r="F28" s="67"/>
      <c r="G28" s="67"/>
    </row>
    <row r="29" spans="1:8" x14ac:dyDescent="0.2">
      <c r="A29" s="71"/>
      <c r="B29" s="66">
        <v>1</v>
      </c>
      <c r="C29" s="76" t="s">
        <v>47</v>
      </c>
      <c r="D29" s="80" t="s">
        <v>31</v>
      </c>
      <c r="E29" s="80">
        <v>125</v>
      </c>
      <c r="F29" s="67"/>
      <c r="G29" s="67"/>
    </row>
    <row r="30" spans="1:8" x14ac:dyDescent="0.2">
      <c r="A30" s="71"/>
      <c r="B30" s="66"/>
      <c r="C30" s="76"/>
      <c r="D30" s="80"/>
      <c r="E30" s="80"/>
      <c r="F30" s="67"/>
      <c r="G30" s="67"/>
    </row>
    <row r="31" spans="1:8" x14ac:dyDescent="0.2">
      <c r="A31" s="71"/>
      <c r="B31" s="66">
        <v>2</v>
      </c>
      <c r="C31" s="76" t="s">
        <v>57</v>
      </c>
      <c r="D31" s="80" t="s">
        <v>31</v>
      </c>
      <c r="E31" s="80">
        <v>40</v>
      </c>
      <c r="F31" s="67"/>
      <c r="G31" s="67"/>
    </row>
    <row r="32" spans="1:8" x14ac:dyDescent="0.2">
      <c r="A32" s="71"/>
      <c r="B32" s="66"/>
      <c r="C32" s="76"/>
      <c r="D32" s="80"/>
      <c r="E32" s="80"/>
      <c r="F32" s="67"/>
      <c r="G32" s="67"/>
    </row>
    <row r="33" spans="1:9" x14ac:dyDescent="0.2">
      <c r="A33" s="65"/>
      <c r="B33" s="66"/>
      <c r="C33" s="69" t="s">
        <v>32</v>
      </c>
      <c r="D33" s="80"/>
      <c r="E33" s="80"/>
      <c r="F33" s="63"/>
      <c r="G33" s="67"/>
    </row>
    <row r="34" spans="1:9" ht="51" x14ac:dyDescent="0.2">
      <c r="A34" s="65"/>
      <c r="B34" s="66"/>
      <c r="C34" s="77" t="s">
        <v>33</v>
      </c>
      <c r="D34" s="80"/>
      <c r="E34" s="80"/>
      <c r="F34" s="63"/>
      <c r="G34" s="67"/>
    </row>
    <row r="35" spans="1:9" x14ac:dyDescent="0.2">
      <c r="A35" s="65"/>
      <c r="B35" s="66"/>
      <c r="C35" s="81"/>
      <c r="D35" s="80"/>
      <c r="E35" s="80"/>
      <c r="F35" s="63"/>
      <c r="G35" s="67"/>
    </row>
    <row r="36" spans="1:9" x14ac:dyDescent="0.2">
      <c r="A36" s="65"/>
      <c r="B36" s="66">
        <v>3</v>
      </c>
      <c r="C36" s="76" t="s">
        <v>48</v>
      </c>
      <c r="D36" s="80" t="s">
        <v>31</v>
      </c>
      <c r="E36" s="80">
        <v>125</v>
      </c>
      <c r="F36" s="63"/>
      <c r="G36" s="67"/>
    </row>
    <row r="37" spans="1:9" x14ac:dyDescent="0.2">
      <c r="A37" s="65"/>
      <c r="B37" s="66"/>
      <c r="C37" s="76"/>
      <c r="D37" s="80"/>
      <c r="E37" s="80"/>
      <c r="F37" s="63"/>
      <c r="G37" s="67"/>
    </row>
    <row r="38" spans="1:9" x14ac:dyDescent="0.2">
      <c r="A38" s="65"/>
      <c r="B38" s="66">
        <v>4</v>
      </c>
      <c r="C38" s="76" t="s">
        <v>58</v>
      </c>
      <c r="D38" s="80" t="s">
        <v>31</v>
      </c>
      <c r="E38" s="80">
        <v>40</v>
      </c>
      <c r="F38" s="63"/>
      <c r="G38" s="67"/>
    </row>
    <row r="39" spans="1:9" x14ac:dyDescent="0.2">
      <c r="A39" s="65"/>
      <c r="B39" s="66"/>
      <c r="C39" s="76"/>
      <c r="D39" s="80"/>
      <c r="E39" s="80"/>
      <c r="F39" s="63"/>
      <c r="G39" s="67"/>
    </row>
    <row r="40" spans="1:9" s="86" customFormat="1" x14ac:dyDescent="0.2">
      <c r="A40" s="65"/>
      <c r="B40" s="66"/>
      <c r="C40" s="79" t="s">
        <v>59</v>
      </c>
      <c r="D40" s="80"/>
      <c r="E40" s="80"/>
      <c r="F40" s="68"/>
      <c r="G40" s="67"/>
      <c r="H40" s="85"/>
      <c r="I40" s="85"/>
    </row>
    <row r="41" spans="1:9" s="86" customFormat="1" ht="54.75" customHeight="1" x14ac:dyDescent="0.2">
      <c r="A41" s="100"/>
      <c r="B41" s="101"/>
      <c r="C41" s="102" t="s">
        <v>60</v>
      </c>
      <c r="D41" s="80"/>
      <c r="E41" s="80"/>
      <c r="F41" s="68"/>
      <c r="G41" s="67"/>
      <c r="H41" s="85"/>
      <c r="I41" s="85"/>
    </row>
    <row r="42" spans="1:9" s="86" customFormat="1" x14ac:dyDescent="0.2">
      <c r="A42" s="65"/>
      <c r="B42" s="66"/>
      <c r="C42" s="78"/>
      <c r="D42" s="80"/>
      <c r="E42" s="80"/>
      <c r="F42" s="68"/>
      <c r="G42" s="67"/>
      <c r="H42" s="85"/>
      <c r="I42" s="85"/>
    </row>
    <row r="43" spans="1:9" s="104" customFormat="1" ht="25.5" x14ac:dyDescent="0.2">
      <c r="A43" s="103"/>
      <c r="B43" s="66">
        <v>5</v>
      </c>
      <c r="C43" s="78" t="s">
        <v>67</v>
      </c>
      <c r="D43" s="80" t="s">
        <v>28</v>
      </c>
      <c r="E43" s="80">
        <v>4</v>
      </c>
      <c r="F43" s="67"/>
      <c r="G43" s="67"/>
      <c r="H43" s="85"/>
      <c r="I43" s="85"/>
    </row>
    <row r="44" spans="1:9" s="104" customFormat="1" x14ac:dyDescent="0.2">
      <c r="A44" s="103"/>
      <c r="B44" s="66"/>
      <c r="C44" s="78"/>
      <c r="D44" s="80"/>
      <c r="E44" s="80"/>
      <c r="F44" s="67"/>
      <c r="G44" s="67"/>
      <c r="H44" s="85"/>
      <c r="I44" s="85"/>
    </row>
    <row r="45" spans="1:9" s="104" customFormat="1" ht="25.5" x14ac:dyDescent="0.2">
      <c r="A45" s="103"/>
      <c r="B45" s="66">
        <v>6</v>
      </c>
      <c r="C45" s="78" t="s">
        <v>68</v>
      </c>
      <c r="D45" s="80" t="s">
        <v>28</v>
      </c>
      <c r="E45" s="80">
        <v>1</v>
      </c>
      <c r="F45" s="67"/>
      <c r="G45" s="67"/>
      <c r="H45" s="85"/>
      <c r="I45" s="85"/>
    </row>
    <row r="46" spans="1:9" s="104" customFormat="1" x14ac:dyDescent="0.2">
      <c r="A46" s="103"/>
      <c r="B46" s="66"/>
      <c r="C46" s="88"/>
      <c r="D46" s="89"/>
      <c r="E46" s="89"/>
      <c r="F46" s="67"/>
      <c r="G46" s="67"/>
      <c r="H46" s="85"/>
      <c r="I46" s="85"/>
    </row>
    <row r="47" spans="1:9" s="104" customFormat="1" x14ac:dyDescent="0.2">
      <c r="A47" s="103"/>
      <c r="B47" s="73"/>
      <c r="C47" s="79" t="s">
        <v>61</v>
      </c>
      <c r="D47" s="89"/>
      <c r="E47" s="89"/>
      <c r="F47" s="67"/>
      <c r="G47" s="67"/>
      <c r="H47" s="85"/>
      <c r="I47" s="85"/>
    </row>
    <row r="48" spans="1:9" s="86" customFormat="1" ht="61.5" customHeight="1" x14ac:dyDescent="0.2">
      <c r="A48" s="100"/>
      <c r="B48" s="101"/>
      <c r="C48" s="77" t="s">
        <v>62</v>
      </c>
      <c r="D48" s="80"/>
      <c r="E48" s="80"/>
      <c r="F48" s="68"/>
      <c r="G48" s="67"/>
      <c r="H48" s="85"/>
      <c r="I48" s="85"/>
    </row>
    <row r="49" spans="1:8" s="86" customFormat="1" x14ac:dyDescent="0.2">
      <c r="A49" s="65"/>
      <c r="B49" s="66"/>
      <c r="C49" s="78"/>
      <c r="D49" s="80"/>
      <c r="E49" s="80"/>
      <c r="F49" s="68"/>
      <c r="G49" s="67"/>
      <c r="H49" s="85"/>
    </row>
    <row r="50" spans="1:8" s="86" customFormat="1" x14ac:dyDescent="0.2">
      <c r="A50" s="65"/>
      <c r="B50" s="66">
        <v>7</v>
      </c>
      <c r="C50" s="78" t="s">
        <v>63</v>
      </c>
      <c r="D50" s="80" t="s">
        <v>28</v>
      </c>
      <c r="E50" s="80">
        <v>4</v>
      </c>
      <c r="F50" s="68"/>
      <c r="G50" s="67"/>
      <c r="H50" s="85"/>
    </row>
    <row r="51" spans="1:8" s="86" customFormat="1" x14ac:dyDescent="0.2">
      <c r="A51" s="65"/>
      <c r="B51" s="66"/>
      <c r="C51" s="78"/>
      <c r="D51" s="80"/>
      <c r="E51" s="80"/>
      <c r="F51" s="68"/>
      <c r="G51" s="67"/>
      <c r="H51" s="85"/>
    </row>
    <row r="52" spans="1:8" s="86" customFormat="1" x14ac:dyDescent="0.2">
      <c r="A52" s="65"/>
      <c r="B52" s="66"/>
      <c r="C52" s="79" t="s">
        <v>42</v>
      </c>
      <c r="D52" s="80"/>
      <c r="E52" s="80"/>
      <c r="F52" s="68"/>
      <c r="G52" s="67"/>
      <c r="H52" s="85"/>
    </row>
    <row r="53" spans="1:8" s="86" customFormat="1" ht="56.25" customHeight="1" x14ac:dyDescent="0.2">
      <c r="A53" s="65"/>
      <c r="B53" s="66" t="s">
        <v>16</v>
      </c>
      <c r="C53" s="77" t="s">
        <v>43</v>
      </c>
      <c r="D53" s="80"/>
      <c r="E53" s="80"/>
      <c r="F53" s="68"/>
      <c r="G53" s="67"/>
      <c r="H53" s="85"/>
    </row>
    <row r="54" spans="1:8" s="91" customFormat="1" x14ac:dyDescent="0.2">
      <c r="A54" s="87"/>
      <c r="B54" s="66"/>
      <c r="C54" s="88"/>
      <c r="D54" s="89"/>
      <c r="E54" s="89"/>
      <c r="F54" s="68"/>
      <c r="G54" s="67"/>
      <c r="H54" s="90"/>
    </row>
    <row r="55" spans="1:8" s="86" customFormat="1" ht="16.5" customHeight="1" x14ac:dyDescent="0.2">
      <c r="A55" s="65"/>
      <c r="B55" s="66">
        <v>8</v>
      </c>
      <c r="C55" s="81" t="s">
        <v>71</v>
      </c>
      <c r="D55" s="80" t="s">
        <v>28</v>
      </c>
      <c r="E55" s="80">
        <v>1</v>
      </c>
      <c r="F55" s="68"/>
      <c r="G55" s="67"/>
      <c r="H55" s="85"/>
    </row>
    <row r="56" spans="1:8" s="86" customFormat="1" x14ac:dyDescent="0.2">
      <c r="A56" s="65"/>
      <c r="B56" s="66"/>
      <c r="C56" s="81"/>
      <c r="D56" s="80"/>
      <c r="E56" s="80"/>
      <c r="F56" s="68"/>
      <c r="G56" s="67"/>
      <c r="H56" s="85"/>
    </row>
    <row r="57" spans="1:8" s="86" customFormat="1" x14ac:dyDescent="0.2">
      <c r="A57" s="65"/>
      <c r="B57" s="66">
        <v>9</v>
      </c>
      <c r="C57" s="81" t="s">
        <v>49</v>
      </c>
      <c r="D57" s="80" t="s">
        <v>28</v>
      </c>
      <c r="E57" s="80">
        <v>1</v>
      </c>
      <c r="F57" s="68"/>
      <c r="G57" s="67"/>
      <c r="H57" s="85"/>
    </row>
    <row r="58" spans="1:8" s="86" customFormat="1" x14ac:dyDescent="0.2">
      <c r="A58" s="65"/>
      <c r="B58" s="66"/>
      <c r="C58" s="81"/>
      <c r="D58" s="80"/>
      <c r="E58" s="80"/>
      <c r="F58" s="68"/>
      <c r="G58" s="67"/>
      <c r="H58" s="85"/>
    </row>
    <row r="59" spans="1:8" x14ac:dyDescent="0.2">
      <c r="A59" s="71"/>
      <c r="B59" s="73"/>
      <c r="C59" s="69" t="s">
        <v>36</v>
      </c>
      <c r="D59" s="80"/>
      <c r="E59" s="80"/>
      <c r="F59" s="67"/>
      <c r="G59" s="67"/>
    </row>
    <row r="60" spans="1:8" ht="97.5" customHeight="1" x14ac:dyDescent="0.2">
      <c r="A60" s="71"/>
      <c r="B60" s="73"/>
      <c r="C60" s="77" t="s">
        <v>37</v>
      </c>
      <c r="D60" s="80"/>
      <c r="E60" s="80"/>
      <c r="F60" s="67"/>
      <c r="G60" s="67"/>
    </row>
    <row r="61" spans="1:8" x14ac:dyDescent="0.2">
      <c r="A61" s="71"/>
      <c r="B61" s="73"/>
      <c r="C61" s="77"/>
      <c r="D61" s="80"/>
      <c r="E61" s="80"/>
      <c r="F61" s="67"/>
      <c r="G61" s="67"/>
    </row>
    <row r="62" spans="1:8" x14ac:dyDescent="0.2">
      <c r="A62" s="71"/>
      <c r="B62" s="73">
        <v>10</v>
      </c>
      <c r="C62" s="78" t="s">
        <v>69</v>
      </c>
      <c r="D62" s="80" t="s">
        <v>28</v>
      </c>
      <c r="E62" s="80">
        <v>1</v>
      </c>
      <c r="F62" s="67"/>
      <c r="G62" s="67"/>
    </row>
    <row r="63" spans="1:8" x14ac:dyDescent="0.2">
      <c r="A63" s="71"/>
      <c r="B63" s="73"/>
      <c r="C63" s="78"/>
      <c r="D63" s="80"/>
      <c r="E63" s="80"/>
      <c r="F63" s="67"/>
      <c r="G63" s="67"/>
    </row>
    <row r="64" spans="1:8" x14ac:dyDescent="0.2">
      <c r="A64" s="71"/>
      <c r="B64" s="73">
        <v>11</v>
      </c>
      <c r="C64" s="78" t="s">
        <v>45</v>
      </c>
      <c r="D64" s="80" t="s">
        <v>28</v>
      </c>
      <c r="E64" s="80">
        <v>1</v>
      </c>
      <c r="F64" s="67"/>
      <c r="G64" s="67"/>
    </row>
    <row r="65" spans="1:8" x14ac:dyDescent="0.2">
      <c r="A65" s="71"/>
      <c r="B65" s="73"/>
      <c r="C65" s="78"/>
      <c r="D65" s="80"/>
      <c r="E65" s="80"/>
      <c r="F65" s="67"/>
      <c r="G65" s="67"/>
    </row>
    <row r="66" spans="1:8" x14ac:dyDescent="0.2">
      <c r="A66" s="65"/>
      <c r="B66" s="66"/>
      <c r="C66" s="72" t="s">
        <v>38</v>
      </c>
      <c r="D66" s="80"/>
      <c r="E66" s="80"/>
      <c r="F66" s="68"/>
      <c r="G66" s="67"/>
    </row>
    <row r="67" spans="1:8" ht="72" customHeight="1" x14ac:dyDescent="0.2">
      <c r="A67" s="65"/>
      <c r="B67" s="66"/>
      <c r="C67" s="75" t="s">
        <v>39</v>
      </c>
      <c r="D67" s="80"/>
      <c r="E67" s="80"/>
      <c r="F67" s="68"/>
      <c r="G67" s="67"/>
    </row>
    <row r="68" spans="1:8" x14ac:dyDescent="0.2">
      <c r="A68" s="65"/>
      <c r="B68" s="66"/>
      <c r="C68" s="76"/>
      <c r="D68" s="80"/>
      <c r="E68" s="70"/>
      <c r="F68" s="68"/>
      <c r="G68" s="67"/>
    </row>
    <row r="69" spans="1:8" x14ac:dyDescent="0.2">
      <c r="A69" s="65"/>
      <c r="B69" s="66">
        <v>12</v>
      </c>
      <c r="C69" s="76" t="s">
        <v>46</v>
      </c>
      <c r="D69" s="80" t="s">
        <v>28</v>
      </c>
      <c r="E69" s="74">
        <v>1</v>
      </c>
      <c r="F69" s="68"/>
      <c r="G69" s="67"/>
    </row>
    <row r="70" spans="1:8" x14ac:dyDescent="0.2">
      <c r="A70" s="65"/>
      <c r="B70" s="66"/>
      <c r="C70" s="76"/>
      <c r="D70" s="80"/>
      <c r="E70" s="70"/>
      <c r="F70" s="68"/>
      <c r="G70" s="67"/>
    </row>
    <row r="71" spans="1:8" s="86" customFormat="1" ht="21.75" customHeight="1" x14ac:dyDescent="0.2">
      <c r="A71" s="65"/>
      <c r="B71" s="66"/>
      <c r="C71" s="72" t="s">
        <v>64</v>
      </c>
      <c r="D71" s="80"/>
      <c r="E71" s="80"/>
      <c r="F71" s="68"/>
      <c r="G71" s="67"/>
      <c r="H71" s="85"/>
    </row>
    <row r="72" spans="1:8" s="86" customFormat="1" ht="55.5" customHeight="1" x14ac:dyDescent="0.2">
      <c r="A72" s="65"/>
      <c r="B72" s="66"/>
      <c r="C72" s="77" t="s">
        <v>65</v>
      </c>
      <c r="D72" s="80"/>
      <c r="E72" s="80"/>
      <c r="F72" s="68"/>
      <c r="G72" s="67"/>
      <c r="H72" s="85"/>
    </row>
    <row r="73" spans="1:8" s="98" customFormat="1" x14ac:dyDescent="0.2">
      <c r="A73" s="71"/>
      <c r="B73" s="73"/>
      <c r="C73" s="78"/>
      <c r="D73" s="80"/>
      <c r="E73" s="80"/>
      <c r="F73" s="67"/>
      <c r="G73" s="67"/>
      <c r="H73" s="97"/>
    </row>
    <row r="74" spans="1:8" s="86" customFormat="1" x14ac:dyDescent="0.2">
      <c r="A74" s="65"/>
      <c r="B74" s="66">
        <v>13</v>
      </c>
      <c r="C74" s="76" t="s">
        <v>66</v>
      </c>
      <c r="D74" s="80" t="s">
        <v>28</v>
      </c>
      <c r="E74" s="70">
        <v>4</v>
      </c>
      <c r="F74" s="68"/>
      <c r="G74" s="67"/>
      <c r="H74" s="85"/>
    </row>
    <row r="75" spans="1:8" s="86" customFormat="1" x14ac:dyDescent="0.2">
      <c r="A75" s="65"/>
      <c r="B75" s="66"/>
      <c r="C75" s="76"/>
      <c r="D75" s="80"/>
      <c r="E75" s="70"/>
      <c r="F75" s="68"/>
      <c r="G75" s="67"/>
      <c r="H75" s="85"/>
    </row>
    <row r="76" spans="1:8" x14ac:dyDescent="0.2">
      <c r="A76" s="65"/>
      <c r="B76" s="66"/>
      <c r="C76" s="76"/>
      <c r="D76" s="80"/>
      <c r="E76" s="70"/>
      <c r="F76" s="68"/>
      <c r="G76" s="67"/>
    </row>
    <row r="77" spans="1:8" s="86" customFormat="1" x14ac:dyDescent="0.2">
      <c r="A77" s="82"/>
      <c r="B77" s="92"/>
      <c r="C77" s="93" t="s">
        <v>50</v>
      </c>
      <c r="D77" s="93"/>
      <c r="E77" s="93"/>
      <c r="F77" s="93"/>
      <c r="G77" s="94">
        <f>SUM(G27:G69)</f>
        <v>0</v>
      </c>
      <c r="H77" s="85"/>
    </row>
    <row r="78" spans="1:8" x14ac:dyDescent="0.2">
      <c r="G78" s="83"/>
    </row>
    <row r="79" spans="1:8" x14ac:dyDescent="0.2">
      <c r="G79" s="95"/>
    </row>
  </sheetData>
  <mergeCells count="2">
    <mergeCell ref="B5:C5"/>
    <mergeCell ref="B6:C6"/>
  </mergeCells>
  <pageMargins left="0.39370078740157499" right="0.23622047244094499" top="0.27559055118110198" bottom="0.511811023622047" header="0.23622047244094499" footer="0.196850393700787"/>
  <pageSetup paperSize="9" scale="83" orientation="portrait" horizontalDpi="4294967292" verticalDpi="1200" r:id="rId1"/>
  <headerFooter alignWithMargins="0">
    <oddFooter>&amp;L&amp;8MARINA GATE
ERGA GROUP / Date: 26-January-2015 / Rev: 00 / &amp;F&amp;R&amp;8B08 - Page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OMM</vt:lpstr>
      <vt:lpstr>ADD</vt:lpstr>
      <vt:lpstr>ADD!Print_Area</vt:lpstr>
      <vt:lpstr>OMM!Print_Area</vt:lpstr>
      <vt:lpstr>ADD!Print_Titles</vt:lpstr>
      <vt:lpstr>OMM!Print_Titles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dc:creator>
  <cp:lastModifiedBy>Toshiba</cp:lastModifiedBy>
  <cp:lastPrinted>2019-08-09T09:41:56Z</cp:lastPrinted>
  <dcterms:created xsi:type="dcterms:W3CDTF">2016-01-20T07:17:58Z</dcterms:created>
  <dcterms:modified xsi:type="dcterms:W3CDTF">2026-06-07T18:17:25Z</dcterms:modified>
</cp:coreProperties>
</file>